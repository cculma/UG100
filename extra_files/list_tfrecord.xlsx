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.medinaculma\Documents\git\UG100\extra_files\"/>
    </mc:Choice>
  </mc:AlternateContent>
  <xr:revisionPtr revIDLastSave="0" documentId="13_ncr:1_{71F2F3EA-D8B9-4B32-9182-A6A42040BD18}" xr6:coauthVersionLast="47" xr6:coauthVersionMax="47" xr10:uidLastSave="{00000000-0000-0000-0000-000000000000}"/>
  <bookViews>
    <workbookView xWindow="14580" yWindow="3975" windowWidth="25275" windowHeight="8385" activeTab="3" xr2:uid="{8510993A-3006-411E-A8D3-9802DF10AA1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2" i="2"/>
</calcChain>
</file>

<file path=xl/sharedStrings.xml><?xml version="1.0" encoding="utf-8"?>
<sst xmlns="http://schemas.openxmlformats.org/spreadsheetml/2006/main" count="218" uniqueCount="109">
  <si>
    <t>exampleFile</t>
  </si>
  <si>
    <t>=</t>
  </si>
  <si>
    <t>/90daydata/xu_alfalfabreeding/system_from_home/msi/UG100/08_make_examples/0001.tfrecord</t>
  </si>
  <si>
    <t>/90daydata/xu_alfalfabreeding/system_from_home/msi/UG100/08_make_examples/0002.tfrecord</t>
  </si>
  <si>
    <t>/90daydata/xu_alfalfabreeding/system_from_home/msi/UG100/08_make_examples/0003.tfrecord</t>
  </si>
  <si>
    <t>/90daydata/xu_alfalfabreeding/system_from_home/msi/UG100/08_make_examples/0004.tfrecord</t>
  </si>
  <si>
    <t>/90daydata/xu_alfalfabreeding/system_from_home/msi/UG100/08_make_examples/0005.tfrecord</t>
  </si>
  <si>
    <t>/90daydata/xu_alfalfabreeding/system_from_home/msi/UG100/08_make_examples/0006.tfrecord</t>
  </si>
  <si>
    <t>/90daydata/xu_alfalfabreeding/system_from_home/msi/UG100/08_make_examples/0007.tfrecord</t>
  </si>
  <si>
    <t>/90daydata/xu_alfalfabreeding/system_from_home/msi/UG100/08_make_examples/0008.tfrecord</t>
  </si>
  <si>
    <t>/90daydata/xu_alfalfabreeding/system_from_home/msi/UG100/08_make_examples/0009.tfrecord</t>
  </si>
  <si>
    <t>/90daydata/xu_alfalfabreeding/system_from_home/msi/UG100/08_make_examples/0010.tfrecord</t>
  </si>
  <si>
    <t>/90daydata/xu_alfalfabreeding/system_from_home/msi/UG100/08_make_examples/0011.tfrecord</t>
  </si>
  <si>
    <t>/90daydata/xu_alfalfabreeding/system_from_home/msi/UG100/08_make_examples/0012.tfrecord</t>
  </si>
  <si>
    <t>/90daydata/xu_alfalfabreeding/system_from_home/msi/UG100/08_make_examples/0013.tfrecord</t>
  </si>
  <si>
    <t>/90daydata/xu_alfalfabreeding/system_from_home/msi/UG100/08_make_examples/0014.tfrecord</t>
  </si>
  <si>
    <t>/90daydata/xu_alfalfabreeding/system_from_home/msi/UG100/08_make_examples/0015.tfrecord</t>
  </si>
  <si>
    <t>/90daydata/xu_alfalfabreeding/system_from_home/msi/UG100/08_make_examples/0016.tfrecord</t>
  </si>
  <si>
    <t>/90daydata/xu_alfalfabreeding/system_from_home/msi/UG100/08_make_examples/0017.tfrecord</t>
  </si>
  <si>
    <t>/90daydata/xu_alfalfabreeding/system_from_home/msi/UG100/08_make_examples/0018.tfrecord</t>
  </si>
  <si>
    <t>/90daydata/xu_alfalfabreeding/system_from_home/msi/UG100/08_make_examples/0019.tfrecord</t>
  </si>
  <si>
    <t>/90daydata/xu_alfalfabreeding/system_from_home/msi/UG100/08_make_examples/0020.tfrecord</t>
  </si>
  <si>
    <t>/90daydata/xu_alfalfabreeding/system_from_home/msi/UG100/08_make_examples/0021.tfrecord</t>
  </si>
  <si>
    <t>/90daydata/xu_alfalfabreeding/system_from_home/msi/UG100/08_make_examples/0022.tfrecord</t>
  </si>
  <si>
    <t>/90daydata/xu_alfalfabreeding/system_from_home/msi/UG100/08_make_examples/0023.tfrecord</t>
  </si>
  <si>
    <t>/90daydata/xu_alfalfabreeding/system_from_home/msi/UG100/08_make_examples/0024.tfrecord</t>
  </si>
  <si>
    <t>/90daydata/xu_alfalfabreeding/system_from_home/msi/UG100/08_make_examples/0025.tfrecord</t>
  </si>
  <si>
    <t>/90daydata/xu_alfalfabreeding/system_from_home/msi/UG100/08_make_examples/0026.tfrecord</t>
  </si>
  <si>
    <t>/90daydata/xu_alfalfabreeding/system_from_home/msi/UG100/08_make_examples/0027.tfrecord</t>
  </si>
  <si>
    <t>/90daydata/xu_alfalfabreeding/system_from_home/msi/UG100/08_make_examples/0028.tfrecord</t>
  </si>
  <si>
    <t>/90daydata/xu_alfalfabreeding/system_from_home/msi/UG100/08_make_examples/0029.tfrecord</t>
  </si>
  <si>
    <t>/90daydata/xu_alfalfabreeding/system_from_home/msi/UG100/08_make_examples/0030.tfrecord</t>
  </si>
  <si>
    <t>/90daydata/xu_alfalfabreeding/system_from_home/msi/UG100/08_make_examples/0031.tfrecord</t>
  </si>
  <si>
    <t>/90daydata/xu_alfalfabreeding/system_from_home/msi/UG100/08_make_examples/0032.tfrecord</t>
  </si>
  <si>
    <t>/90daydata/xu_alfalfabreeding/system_from_home/msi/UG100/08_make_examples/0033.tfrecord</t>
  </si>
  <si>
    <t>/90daydata/xu_alfalfabreeding/system_from_home/msi/UG100/08_make_examples/0034.tfrecord</t>
  </si>
  <si>
    <t>/90daydata/xu_alfalfabreeding/system_from_home/msi/UG100/08_make_examples/0035.tfrecord</t>
  </si>
  <si>
    <t>/90daydata/xu_alfalfabreeding/system_from_home/msi/UG100/08_make_examples/0036.tfrecord</t>
  </si>
  <si>
    <t>/90daydata/xu_alfalfabreeding/system_from_home/msi/UG100/08_make_examples/0037.tfrecord</t>
  </si>
  <si>
    <t>/90daydata/xu_alfalfabreeding/system_from_home/msi/UG100/08_make_examples/0038.tfrecord</t>
  </si>
  <si>
    <t>/90daydata/xu_alfalfabreeding/system_from_home/msi/UG100/08_make_examples/0039.tfrecord</t>
  </si>
  <si>
    <t>/90daydata/xu_alfalfabreeding/system_from_home/msi/UG100/08_make_examples/0040.tfrecord</t>
  </si>
  <si>
    <t>RegenSY27</t>
  </si>
  <si>
    <t>GENOME_TERRITORY</t>
  </si>
  <si>
    <t>PCT_EXC_MAPQ</t>
  </si>
  <si>
    <t>PCT_EXC_UNPAIRED</t>
  </si>
  <si>
    <t>Total</t>
  </si>
  <si>
    <t>Haplo_1</t>
  </si>
  <si>
    <t>Phased_1:4</t>
  </si>
  <si>
    <t>extra_information</t>
  </si>
  <si>
    <t>[+] extra_information {}</t>
  </si>
  <si>
    <t>n_bytes</t>
  </si>
  <si>
    <t>n_records</t>
  </si>
  <si>
    <t>total_reads</t>
  </si>
  <si>
    <t>total_aligned_reads</t>
  </si>
  <si>
    <t>total_bases</t>
  </si>
  <si>
    <t>total_aligned_bases</t>
  </si>
  <si>
    <t>total_softclipped_bases</t>
  </si>
  <si>
    <t>bqual</t>
  </si>
  <si>
    <t>[+] bqual[36]</t>
  </si>
  <si>
    <t>pf_bqual</t>
  </si>
  <si>
    <t>[+] pf_bqual[36]</t>
  </si>
  <si>
    <t>read_length</t>
  </si>
  <si>
    <t>[+] read_length[521]</t>
  </si>
  <si>
    <t>pf_read_length</t>
  </si>
  <si>
    <t>[+] pf_read_length[521]</t>
  </si>
  <si>
    <t>aligned_read_length</t>
  </si>
  <si>
    <t>[+] aligned_read_length[521]</t>
  </si>
  <si>
    <t>pf_bases</t>
  </si>
  <si>
    <t>pf_reads</t>
  </si>
  <si>
    <t>pf_aligned_bases</t>
  </si>
  <si>
    <t>pf_aligned_reads</t>
  </si>
  <si>
    <t>pf_hq_aligned_reads</t>
  </si>
  <si>
    <t>pf_hq_aligned_bases</t>
  </si>
  <si>
    <t>pf_hq_aligned_split_reads</t>
  </si>
  <si>
    <t>nr_very_long_reads</t>
  </si>
  <si>
    <t>nr_discarded_reads</t>
  </si>
  <si>
    <t>nr_duplicate_reads</t>
  </si>
  <si>
    <t>mapq</t>
  </si>
  <si>
    <t>[+] mapq[61]</t>
  </si>
  <si>
    <t>bqx</t>
  </si>
  <si>
    <t>[+] bqx[520]</t>
  </si>
  <si>
    <t>pf_mismatch_bases</t>
  </si>
  <si>
    <t>pf_indel_events</t>
  </si>
  <si>
    <t>nr_optical_false_detected</t>
  </si>
  <si>
    <t>nr_optical_ring_overlap</t>
  </si>
  <si>
    <t>base_coverage</t>
  </si>
  <si>
    <t>[+] base_coverage {}</t>
  </si>
  <si>
    <t>cvg</t>
  </si>
  <si>
    <t>[+] cvg[10001]</t>
  </si>
  <si>
    <t>[-] extra_information {}</t>
  </si>
  <si>
    <t>sample</t>
  </si>
  <si>
    <t>S18-NGX</t>
  </si>
  <si>
    <t>barcode</t>
  </si>
  <si>
    <t>Z0018</t>
  </si>
  <si>
    <t>minor_rg</t>
  </si>
  <si>
    <t>sequence</t>
  </si>
  <si>
    <t>CATGCGTCCTGTGAT</t>
  </si>
  <si>
    <t>Stats 01</t>
  </si>
  <si>
    <t>CRAM 02</t>
  </si>
  <si>
    <t>Sub-Total</t>
  </si>
  <si>
    <t>Total (Phased_1:4)</t>
  </si>
  <si>
    <t>Chr</t>
  </si>
  <si>
    <t>medsa.RegenSY27x.gnm1</t>
  </si>
  <si>
    <t>Genome</t>
  </si>
  <si>
    <t>Chr_.1</t>
  </si>
  <si>
    <t>Chr_.2</t>
  </si>
  <si>
    <t>Chr_.3</t>
  </si>
  <si>
    <t>Chr_.4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</si>
</sst>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ptos Narrow"/>
      <family val="2"/>
      <scheme val="minor"/>
    </font>
    <font>
      <sz val="11"/>
      <color rgb="FF202020"/>
      <name val="Consolas"/>
      <family val="3"/>
    </font>
    <font>
      <sz val="12"/>
      <color rgb="FF1F2328"/>
      <name val="Segoe UI"/>
      <family val="2"/>
    </font>
    <font>
      <sz val="10"/>
      <color rgb="FF234A97"/>
      <name val="Consolas"/>
      <family val="3"/>
    </font>
    <font>
      <sz val="10"/>
      <color rgb="FF234A97"/>
      <name val="Consolas"/>
      <family val="3"/>
    </font>
    <font>
      <sz val="10"/>
      <color rgb="FF0B6125"/>
      <name val="Consolas"/>
      <family val="3"/>
    </font>
    <font>
      <sz val="10"/>
      <color theme="1"/>
      <name val="Primeico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C5C5C5"/>
      </left>
      <right style="medium">
        <color rgb="FFEDEDED"/>
      </right>
      <top style="medium">
        <color rgb="FFC5C5C5"/>
      </top>
      <bottom style="medium">
        <color rgb="FFEDEDED"/>
      </bottom>
      <diagonal/>
    </border>
    <border>
      <left style="medium">
        <color rgb="FFEDEDED"/>
      </left>
      <right style="medium">
        <color rgb="FFC5C5C5"/>
      </right>
      <top style="medium">
        <color rgb="FFC5C5C5"/>
      </top>
      <bottom style="medium">
        <color rgb="FFEDEDED"/>
      </bottom>
      <diagonal/>
    </border>
    <border>
      <left style="medium">
        <color rgb="FFC5C5C5"/>
      </left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 style="medium">
        <color rgb="FFEDEDED"/>
      </left>
      <right style="medium">
        <color rgb="FFC5C5C5"/>
      </right>
      <top style="medium">
        <color rgb="FFEDEDED"/>
      </top>
      <bottom style="medium">
        <color rgb="FFEDEDED"/>
      </bottom>
      <diagonal/>
    </border>
    <border>
      <left style="medium">
        <color rgb="FFC5C5C5"/>
      </left>
      <right style="medium">
        <color rgb="FFEDEDED"/>
      </right>
      <top style="medium">
        <color rgb="FFEDEDED"/>
      </top>
      <bottom style="medium">
        <color rgb="FFC5C5C5"/>
      </bottom>
      <diagonal/>
    </border>
    <border>
      <left style="medium">
        <color rgb="FFEDEDED"/>
      </left>
      <right style="medium">
        <color rgb="FFC5C5C5"/>
      </right>
      <top style="medium">
        <color rgb="FFEDEDED"/>
      </top>
      <bottom style="medium">
        <color rgb="FFC5C5C5"/>
      </bottom>
      <diagonal/>
    </border>
    <border>
      <left style="medium">
        <color rgb="FFC5C5C5"/>
      </left>
      <right/>
      <top style="medium">
        <color rgb="FFC5C5C5"/>
      </top>
      <bottom/>
      <diagonal/>
    </border>
    <border>
      <left/>
      <right style="medium">
        <color rgb="FFC5C5C5"/>
      </right>
      <top style="medium">
        <color rgb="FFC5C5C5"/>
      </top>
      <bottom/>
      <diagonal/>
    </border>
    <border>
      <left style="medium">
        <color rgb="FFC5C5C5"/>
      </left>
      <right/>
      <top/>
      <bottom style="medium">
        <color rgb="FFC5C5C5"/>
      </bottom>
      <diagonal/>
    </border>
    <border>
      <left/>
      <right style="medium">
        <color rgb="FFC5C5C5"/>
      </right>
      <top/>
      <bottom style="medium">
        <color rgb="FFC5C5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5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B1BB-4533-48BD-B8D5-1693EC32F631}">
  <dimension ref="A1:D40"/>
  <sheetViews>
    <sheetView workbookViewId="0">
      <selection activeCell="D40" sqref="A1:D40"/>
    </sheetView>
  </sheetViews>
  <sheetFormatPr defaultRowHeight="15"/>
  <cols>
    <col min="1" max="1" width="13.7109375" bestFit="1" customWidth="1"/>
    <col min="4" max="4" width="88.42578125" bestFit="1" customWidth="1"/>
  </cols>
  <sheetData>
    <row r="1" spans="1:4">
      <c r="A1" s="1" t="s">
        <v>0</v>
      </c>
      <c r="B1">
        <v>1</v>
      </c>
      <c r="C1" t="s">
        <v>1</v>
      </c>
      <c r="D1" t="s">
        <v>2</v>
      </c>
    </row>
    <row r="2" spans="1:4">
      <c r="A2" s="1" t="s">
        <v>0</v>
      </c>
      <c r="B2">
        <v>2</v>
      </c>
      <c r="C2" t="s">
        <v>1</v>
      </c>
      <c r="D2" t="s">
        <v>3</v>
      </c>
    </row>
    <row r="3" spans="1:4">
      <c r="A3" s="1" t="s">
        <v>0</v>
      </c>
      <c r="B3">
        <v>3</v>
      </c>
      <c r="C3" t="s">
        <v>1</v>
      </c>
      <c r="D3" t="s">
        <v>4</v>
      </c>
    </row>
    <row r="4" spans="1:4">
      <c r="A4" s="1" t="s">
        <v>0</v>
      </c>
      <c r="B4">
        <v>4</v>
      </c>
      <c r="C4" t="s">
        <v>1</v>
      </c>
      <c r="D4" t="s">
        <v>5</v>
      </c>
    </row>
    <row r="5" spans="1:4">
      <c r="A5" s="1" t="s">
        <v>0</v>
      </c>
      <c r="B5">
        <v>5</v>
      </c>
      <c r="C5" t="s">
        <v>1</v>
      </c>
      <c r="D5" t="s">
        <v>6</v>
      </c>
    </row>
    <row r="6" spans="1:4">
      <c r="A6" s="1" t="s">
        <v>0</v>
      </c>
      <c r="B6">
        <v>6</v>
      </c>
      <c r="C6" t="s">
        <v>1</v>
      </c>
      <c r="D6" t="s">
        <v>7</v>
      </c>
    </row>
    <row r="7" spans="1:4">
      <c r="A7" s="1" t="s">
        <v>0</v>
      </c>
      <c r="B7">
        <v>7</v>
      </c>
      <c r="C7" t="s">
        <v>1</v>
      </c>
      <c r="D7" t="s">
        <v>8</v>
      </c>
    </row>
    <row r="8" spans="1:4">
      <c r="A8" s="1" t="s">
        <v>0</v>
      </c>
      <c r="B8">
        <v>8</v>
      </c>
      <c r="C8" t="s">
        <v>1</v>
      </c>
      <c r="D8" t="s">
        <v>9</v>
      </c>
    </row>
    <row r="9" spans="1:4">
      <c r="A9" s="1" t="s">
        <v>0</v>
      </c>
      <c r="B9">
        <v>9</v>
      </c>
      <c r="C9" t="s">
        <v>1</v>
      </c>
      <c r="D9" t="s">
        <v>10</v>
      </c>
    </row>
    <row r="10" spans="1:4">
      <c r="A10" s="1" t="s">
        <v>0</v>
      </c>
      <c r="B10">
        <v>10</v>
      </c>
      <c r="C10" t="s">
        <v>1</v>
      </c>
      <c r="D10" t="s">
        <v>11</v>
      </c>
    </row>
    <row r="11" spans="1:4">
      <c r="A11" s="1" t="s">
        <v>0</v>
      </c>
      <c r="B11">
        <v>11</v>
      </c>
      <c r="C11" t="s">
        <v>1</v>
      </c>
      <c r="D11" t="s">
        <v>12</v>
      </c>
    </row>
    <row r="12" spans="1:4">
      <c r="A12" s="1" t="s">
        <v>0</v>
      </c>
      <c r="B12">
        <v>12</v>
      </c>
      <c r="C12" t="s">
        <v>1</v>
      </c>
      <c r="D12" t="s">
        <v>13</v>
      </c>
    </row>
    <row r="13" spans="1:4">
      <c r="A13" s="1" t="s">
        <v>0</v>
      </c>
      <c r="B13">
        <v>13</v>
      </c>
      <c r="C13" t="s">
        <v>1</v>
      </c>
      <c r="D13" t="s">
        <v>14</v>
      </c>
    </row>
    <row r="14" spans="1:4">
      <c r="A14" s="1" t="s">
        <v>0</v>
      </c>
      <c r="B14">
        <v>14</v>
      </c>
      <c r="C14" t="s">
        <v>1</v>
      </c>
      <c r="D14" t="s">
        <v>15</v>
      </c>
    </row>
    <row r="15" spans="1:4">
      <c r="A15" s="1" t="s">
        <v>0</v>
      </c>
      <c r="B15">
        <v>15</v>
      </c>
      <c r="C15" t="s">
        <v>1</v>
      </c>
      <c r="D15" t="s">
        <v>16</v>
      </c>
    </row>
    <row r="16" spans="1:4">
      <c r="A16" s="1" t="s">
        <v>0</v>
      </c>
      <c r="B16">
        <v>16</v>
      </c>
      <c r="C16" t="s">
        <v>1</v>
      </c>
      <c r="D16" t="s">
        <v>17</v>
      </c>
    </row>
    <row r="17" spans="1:4">
      <c r="A17" s="1" t="s">
        <v>0</v>
      </c>
      <c r="B17">
        <v>17</v>
      </c>
      <c r="C17" t="s">
        <v>1</v>
      </c>
      <c r="D17" t="s">
        <v>18</v>
      </c>
    </row>
    <row r="18" spans="1:4">
      <c r="A18" s="1" t="s">
        <v>0</v>
      </c>
      <c r="B18">
        <v>18</v>
      </c>
      <c r="C18" t="s">
        <v>1</v>
      </c>
      <c r="D18" t="s">
        <v>19</v>
      </c>
    </row>
    <row r="19" spans="1:4">
      <c r="A19" s="1" t="s">
        <v>0</v>
      </c>
      <c r="B19">
        <v>19</v>
      </c>
      <c r="C19" t="s">
        <v>1</v>
      </c>
      <c r="D19" t="s">
        <v>20</v>
      </c>
    </row>
    <row r="20" spans="1:4">
      <c r="A20" s="1" t="s">
        <v>0</v>
      </c>
      <c r="B20">
        <v>20</v>
      </c>
      <c r="C20" t="s">
        <v>1</v>
      </c>
      <c r="D20" t="s">
        <v>21</v>
      </c>
    </row>
    <row r="21" spans="1:4">
      <c r="A21" s="1" t="s">
        <v>0</v>
      </c>
      <c r="B21">
        <v>21</v>
      </c>
      <c r="C21" t="s">
        <v>1</v>
      </c>
      <c r="D21" t="s">
        <v>22</v>
      </c>
    </row>
    <row r="22" spans="1:4">
      <c r="A22" s="1" t="s">
        <v>0</v>
      </c>
      <c r="B22">
        <v>22</v>
      </c>
      <c r="C22" t="s">
        <v>1</v>
      </c>
      <c r="D22" t="s">
        <v>23</v>
      </c>
    </row>
    <row r="23" spans="1:4">
      <c r="A23" s="1" t="s">
        <v>0</v>
      </c>
      <c r="B23">
        <v>23</v>
      </c>
      <c r="C23" t="s">
        <v>1</v>
      </c>
      <c r="D23" t="s">
        <v>24</v>
      </c>
    </row>
    <row r="24" spans="1:4">
      <c r="A24" s="1" t="s">
        <v>0</v>
      </c>
      <c r="B24">
        <v>24</v>
      </c>
      <c r="C24" t="s">
        <v>1</v>
      </c>
      <c r="D24" t="s">
        <v>25</v>
      </c>
    </row>
    <row r="25" spans="1:4">
      <c r="A25" s="1" t="s">
        <v>0</v>
      </c>
      <c r="B25">
        <v>25</v>
      </c>
      <c r="C25" t="s">
        <v>1</v>
      </c>
      <c r="D25" t="s">
        <v>26</v>
      </c>
    </row>
    <row r="26" spans="1:4">
      <c r="A26" s="1" t="s">
        <v>0</v>
      </c>
      <c r="B26">
        <v>26</v>
      </c>
      <c r="C26" t="s">
        <v>1</v>
      </c>
      <c r="D26" t="s">
        <v>27</v>
      </c>
    </row>
    <row r="27" spans="1:4">
      <c r="A27" s="1" t="s">
        <v>0</v>
      </c>
      <c r="B27">
        <v>27</v>
      </c>
      <c r="C27" t="s">
        <v>1</v>
      </c>
      <c r="D27" t="s">
        <v>28</v>
      </c>
    </row>
    <row r="28" spans="1:4">
      <c r="A28" s="1" t="s">
        <v>0</v>
      </c>
      <c r="B28">
        <v>28</v>
      </c>
      <c r="C28" t="s">
        <v>1</v>
      </c>
      <c r="D28" t="s">
        <v>29</v>
      </c>
    </row>
    <row r="29" spans="1:4">
      <c r="A29" s="1" t="s">
        <v>0</v>
      </c>
      <c r="B29">
        <v>29</v>
      </c>
      <c r="C29" t="s">
        <v>1</v>
      </c>
      <c r="D29" t="s">
        <v>30</v>
      </c>
    </row>
    <row r="30" spans="1:4">
      <c r="A30" s="1" t="s">
        <v>0</v>
      </c>
      <c r="B30">
        <v>30</v>
      </c>
      <c r="C30" t="s">
        <v>1</v>
      </c>
      <c r="D30" t="s">
        <v>31</v>
      </c>
    </row>
    <row r="31" spans="1:4">
      <c r="A31" s="1" t="s">
        <v>0</v>
      </c>
      <c r="B31">
        <v>31</v>
      </c>
      <c r="C31" t="s">
        <v>1</v>
      </c>
      <c r="D31" t="s">
        <v>32</v>
      </c>
    </row>
    <row r="32" spans="1:4">
      <c r="A32" s="1" t="s">
        <v>0</v>
      </c>
      <c r="B32">
        <v>32</v>
      </c>
      <c r="C32" t="s">
        <v>1</v>
      </c>
      <c r="D32" t="s">
        <v>33</v>
      </c>
    </row>
    <row r="33" spans="1:4">
      <c r="A33" s="1" t="s">
        <v>0</v>
      </c>
      <c r="B33">
        <v>33</v>
      </c>
      <c r="C33" t="s">
        <v>1</v>
      </c>
      <c r="D33" t="s">
        <v>34</v>
      </c>
    </row>
    <row r="34" spans="1:4">
      <c r="A34" s="1" t="s">
        <v>0</v>
      </c>
      <c r="B34">
        <v>34</v>
      </c>
      <c r="C34" t="s">
        <v>1</v>
      </c>
      <c r="D34" t="s">
        <v>35</v>
      </c>
    </row>
    <row r="35" spans="1:4">
      <c r="A35" s="1" t="s">
        <v>0</v>
      </c>
      <c r="B35">
        <v>35</v>
      </c>
      <c r="C35" t="s">
        <v>1</v>
      </c>
      <c r="D35" t="s">
        <v>36</v>
      </c>
    </row>
    <row r="36" spans="1:4">
      <c r="A36" s="1" t="s">
        <v>0</v>
      </c>
      <c r="B36">
        <v>36</v>
      </c>
      <c r="C36" t="s">
        <v>1</v>
      </c>
      <c r="D36" t="s">
        <v>37</v>
      </c>
    </row>
    <row r="37" spans="1:4">
      <c r="A37" s="1" t="s">
        <v>0</v>
      </c>
      <c r="B37">
        <v>37</v>
      </c>
      <c r="C37" t="s">
        <v>1</v>
      </c>
      <c r="D37" t="s">
        <v>38</v>
      </c>
    </row>
    <row r="38" spans="1:4">
      <c r="A38" s="1" t="s">
        <v>0</v>
      </c>
      <c r="B38">
        <v>38</v>
      </c>
      <c r="C38" t="s">
        <v>1</v>
      </c>
      <c r="D38" t="s">
        <v>39</v>
      </c>
    </row>
    <row r="39" spans="1:4">
      <c r="A39" s="1" t="s">
        <v>0</v>
      </c>
      <c r="B39">
        <v>39</v>
      </c>
      <c r="C39" t="s">
        <v>1</v>
      </c>
      <c r="D39" t="s">
        <v>40</v>
      </c>
    </row>
    <row r="40" spans="1:4">
      <c r="A40" s="1" t="s">
        <v>0</v>
      </c>
      <c r="B40">
        <v>40</v>
      </c>
      <c r="C40" t="s">
        <v>1</v>
      </c>
      <c r="D40" t="s">
        <v>41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B635-A060-49B3-B683-9761AE83568C}">
  <dimension ref="A1:E3"/>
  <sheetViews>
    <sheetView workbookViewId="0">
      <selection activeCell="M6" sqref="M6"/>
    </sheetView>
  </sheetViews>
  <sheetFormatPr defaultRowHeight="15"/>
  <sheetData>
    <row r="1" spans="1:5" ht="17.25">
      <c r="A1" s="2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47</v>
      </c>
      <c r="B2">
        <v>653356514</v>
      </c>
      <c r="C2" s="3">
        <v>0.374861</v>
      </c>
      <c r="D2" s="3">
        <v>0.625139</v>
      </c>
      <c r="E2" s="3">
        <f>SUM(C2:D2)</f>
        <v>1</v>
      </c>
    </row>
    <row r="3" spans="1:5">
      <c r="A3" t="s">
        <v>48</v>
      </c>
      <c r="B3">
        <v>2594267024</v>
      </c>
      <c r="C3" s="3">
        <v>0.62834599999999996</v>
      </c>
      <c r="D3" s="3">
        <v>0.37165399999999998</v>
      </c>
      <c r="E3" s="3">
        <f>SUM(C3:D3)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1281-0B24-4210-9CA0-CB7F938A7F01}">
  <dimension ref="A1:N34"/>
  <sheetViews>
    <sheetView topLeftCell="A6" workbookViewId="0">
      <selection activeCell="Z14" sqref="Z14"/>
    </sheetView>
  </sheetViews>
  <sheetFormatPr defaultRowHeight="15"/>
  <cols>
    <col min="2" max="2" width="26" bestFit="1" customWidth="1"/>
    <col min="13" max="13" width="24.28515625" bestFit="1" customWidth="1"/>
    <col min="14" max="14" width="22.85546875" customWidth="1"/>
  </cols>
  <sheetData>
    <row r="1" spans="1:14">
      <c r="A1" t="s">
        <v>49</v>
      </c>
      <c r="B1" t="s">
        <v>50</v>
      </c>
      <c r="F1" s="11"/>
      <c r="G1" s="12"/>
      <c r="M1" t="s">
        <v>51</v>
      </c>
      <c r="N1">
        <v>1842130482480</v>
      </c>
    </row>
    <row r="2" spans="1:14" ht="15.75" thickBot="1">
      <c r="A2" t="s">
        <v>51</v>
      </c>
      <c r="B2">
        <v>1842130482480</v>
      </c>
      <c r="F2" s="13" t="s">
        <v>90</v>
      </c>
      <c r="G2" s="14"/>
      <c r="M2" t="s">
        <v>52</v>
      </c>
      <c r="N2">
        <v>1054270369</v>
      </c>
    </row>
    <row r="3" spans="1:14" ht="15.75" thickBot="1">
      <c r="A3" t="s">
        <v>52</v>
      </c>
      <c r="B3">
        <v>1054270369</v>
      </c>
      <c r="F3" s="4" t="s">
        <v>91</v>
      </c>
      <c r="G3" s="7" t="s">
        <v>92</v>
      </c>
      <c r="M3" t="s">
        <v>53</v>
      </c>
      <c r="N3">
        <v>998463718</v>
      </c>
    </row>
    <row r="4" spans="1:14" ht="15.75" thickBot="1">
      <c r="A4" t="s">
        <v>53</v>
      </c>
      <c r="B4">
        <v>998463718</v>
      </c>
      <c r="F4" s="5" t="s">
        <v>93</v>
      </c>
      <c r="G4" s="8" t="s">
        <v>94</v>
      </c>
      <c r="M4" t="s">
        <v>54</v>
      </c>
      <c r="N4">
        <v>993474262</v>
      </c>
    </row>
    <row r="5" spans="1:14" ht="15.75" thickBot="1">
      <c r="A5" t="s">
        <v>54</v>
      </c>
      <c r="B5">
        <v>993474262</v>
      </c>
      <c r="F5" s="5" t="s">
        <v>95</v>
      </c>
      <c r="G5" s="9"/>
      <c r="M5" t="s">
        <v>55</v>
      </c>
      <c r="N5">
        <v>297354215135</v>
      </c>
    </row>
    <row r="6" spans="1:14" ht="15.75" thickBot="1">
      <c r="A6" t="s">
        <v>55</v>
      </c>
      <c r="B6">
        <v>297354215135</v>
      </c>
      <c r="F6" s="6" t="s">
        <v>96</v>
      </c>
      <c r="G6" s="10" t="s">
        <v>97</v>
      </c>
      <c r="M6" t="s">
        <v>56</v>
      </c>
      <c r="N6">
        <v>295954758220</v>
      </c>
    </row>
    <row r="7" spans="1:14">
      <c r="A7" t="s">
        <v>56</v>
      </c>
      <c r="B7">
        <v>295954758220</v>
      </c>
      <c r="M7" t="s">
        <v>57</v>
      </c>
      <c r="N7">
        <v>35014717852</v>
      </c>
    </row>
    <row r="8" spans="1:14">
      <c r="A8" t="s">
        <v>57</v>
      </c>
      <c r="B8">
        <v>35014717852</v>
      </c>
      <c r="M8" t="s">
        <v>58</v>
      </c>
      <c r="N8" t="s">
        <v>59</v>
      </c>
    </row>
    <row r="9" spans="1:14">
      <c r="A9" t="s">
        <v>58</v>
      </c>
      <c r="B9" t="s">
        <v>59</v>
      </c>
      <c r="M9" t="s">
        <v>60</v>
      </c>
      <c r="N9" t="s">
        <v>61</v>
      </c>
    </row>
    <row r="10" spans="1:14">
      <c r="A10" t="s">
        <v>60</v>
      </c>
      <c r="B10" t="s">
        <v>61</v>
      </c>
      <c r="M10" t="s">
        <v>62</v>
      </c>
      <c r="N10" t="s">
        <v>63</v>
      </c>
    </row>
    <row r="11" spans="1:14">
      <c r="A11" t="s">
        <v>62</v>
      </c>
      <c r="B11" t="s">
        <v>63</v>
      </c>
      <c r="M11" t="s">
        <v>64</v>
      </c>
      <c r="N11" t="s">
        <v>65</v>
      </c>
    </row>
    <row r="12" spans="1:14">
      <c r="A12" t="s">
        <v>64</v>
      </c>
      <c r="B12" t="s">
        <v>65</v>
      </c>
      <c r="M12" t="s">
        <v>66</v>
      </c>
      <c r="N12" t="s">
        <v>67</v>
      </c>
    </row>
    <row r="13" spans="1:14">
      <c r="A13" t="s">
        <v>66</v>
      </c>
      <c r="B13" t="s">
        <v>67</v>
      </c>
      <c r="M13" t="s">
        <v>68</v>
      </c>
      <c r="N13">
        <v>297354215135</v>
      </c>
    </row>
    <row r="14" spans="1:14">
      <c r="A14" t="s">
        <v>68</v>
      </c>
      <c r="B14">
        <v>297354215135</v>
      </c>
      <c r="M14" t="s">
        <v>69</v>
      </c>
      <c r="N14">
        <v>998463718</v>
      </c>
    </row>
    <row r="15" spans="1:14">
      <c r="A15" t="s">
        <v>69</v>
      </c>
      <c r="B15">
        <v>998463718</v>
      </c>
      <c r="M15" t="s">
        <v>70</v>
      </c>
      <c r="N15">
        <v>259653429580</v>
      </c>
    </row>
    <row r="16" spans="1:14">
      <c r="A16" t="s">
        <v>70</v>
      </c>
      <c r="B16">
        <v>259653429580</v>
      </c>
      <c r="M16" t="s">
        <v>71</v>
      </c>
      <c r="N16">
        <v>993474262</v>
      </c>
    </row>
    <row r="17" spans="1:14">
      <c r="A17" t="s">
        <v>71</v>
      </c>
      <c r="B17">
        <v>993474262</v>
      </c>
      <c r="M17" t="s">
        <v>72</v>
      </c>
      <c r="N17">
        <v>356133001</v>
      </c>
    </row>
    <row r="18" spans="1:14">
      <c r="A18" t="s">
        <v>72</v>
      </c>
      <c r="B18">
        <v>356133001</v>
      </c>
      <c r="M18" t="s">
        <v>73</v>
      </c>
      <c r="N18">
        <v>97243792957</v>
      </c>
    </row>
    <row r="19" spans="1:14">
      <c r="A19" t="s">
        <v>73</v>
      </c>
      <c r="B19">
        <v>97243792957</v>
      </c>
      <c r="M19" t="s">
        <v>74</v>
      </c>
      <c r="N19">
        <v>14123422</v>
      </c>
    </row>
    <row r="20" spans="1:14">
      <c r="A20" t="s">
        <v>74</v>
      </c>
      <c r="B20">
        <v>14123422</v>
      </c>
    </row>
    <row r="21" spans="1:14">
      <c r="A21" t="s">
        <v>75</v>
      </c>
      <c r="B21">
        <v>0</v>
      </c>
    </row>
    <row r="22" spans="1:14">
      <c r="A22" t="s">
        <v>76</v>
      </c>
      <c r="B22">
        <v>0</v>
      </c>
    </row>
    <row r="23" spans="1:14">
      <c r="A23" t="s">
        <v>77</v>
      </c>
      <c r="B23">
        <v>165618594</v>
      </c>
    </row>
    <row r="24" spans="1:14">
      <c r="A24" t="s">
        <v>78</v>
      </c>
      <c r="B24" t="s">
        <v>79</v>
      </c>
    </row>
    <row r="25" spans="1:14">
      <c r="A25" t="s">
        <v>80</v>
      </c>
      <c r="B25" t="s">
        <v>81</v>
      </c>
    </row>
    <row r="26" spans="1:14">
      <c r="A26" t="s">
        <v>82</v>
      </c>
      <c r="B26">
        <v>2443263480</v>
      </c>
    </row>
    <row r="27" spans="1:14">
      <c r="A27" t="s">
        <v>83</v>
      </c>
      <c r="B27">
        <v>2017487522</v>
      </c>
      <c r="N27" t="s">
        <v>98</v>
      </c>
    </row>
    <row r="28" spans="1:14">
      <c r="A28" t="s">
        <v>84</v>
      </c>
      <c r="B28">
        <v>2500563</v>
      </c>
    </row>
    <row r="29" spans="1:14">
      <c r="A29" t="s">
        <v>85</v>
      </c>
      <c r="B29">
        <v>4074</v>
      </c>
    </row>
    <row r="30" spans="1:14">
      <c r="A30" t="s">
        <v>86</v>
      </c>
      <c r="B30" t="s">
        <v>87</v>
      </c>
    </row>
    <row r="31" spans="1:14">
      <c r="A31" t="s">
        <v>88</v>
      </c>
      <c r="B31" t="s">
        <v>89</v>
      </c>
    </row>
    <row r="34" spans="2:2">
      <c r="B34" t="s">
        <v>99</v>
      </c>
    </row>
  </sheetData>
  <mergeCells count="2">
    <mergeCell ref="F1:G1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50B6-E0E6-4EB6-BF41-82F0C67487B2}">
  <dimension ref="A1:H11"/>
  <sheetViews>
    <sheetView tabSelected="1" workbookViewId="0">
      <selection activeCell="H10" sqref="H10"/>
    </sheetView>
  </sheetViews>
  <sheetFormatPr defaultRowHeight="15"/>
  <cols>
    <col min="1" max="1" width="23.85546875" customWidth="1"/>
  </cols>
  <sheetData>
    <row r="1" spans="1:8">
      <c r="A1" t="s">
        <v>104</v>
      </c>
      <c r="B1" t="s">
        <v>102</v>
      </c>
      <c r="C1" t="s">
        <v>105</v>
      </c>
      <c r="D1" t="s">
        <v>106</v>
      </c>
      <c r="E1" t="s">
        <v>107</v>
      </c>
      <c r="F1" t="s">
        <v>108</v>
      </c>
      <c r="H1" s="1"/>
    </row>
    <row r="2" spans="1:8">
      <c r="A2" t="s">
        <v>103</v>
      </c>
      <c r="B2">
        <v>1</v>
      </c>
      <c r="C2">
        <v>85129743</v>
      </c>
      <c r="D2">
        <v>87534413</v>
      </c>
      <c r="E2">
        <v>86698797</v>
      </c>
      <c r="F2">
        <v>81593309</v>
      </c>
    </row>
    <row r="3" spans="1:8">
      <c r="A3" t="s">
        <v>103</v>
      </c>
      <c r="B3">
        <v>2</v>
      </c>
      <c r="C3">
        <v>69581426</v>
      </c>
      <c r="D3">
        <v>69606329</v>
      </c>
      <c r="E3">
        <v>75653446</v>
      </c>
      <c r="F3">
        <v>72621877</v>
      </c>
    </row>
    <row r="4" spans="1:8">
      <c r="A4" t="s">
        <v>103</v>
      </c>
      <c r="B4">
        <v>3</v>
      </c>
      <c r="C4">
        <v>96190425</v>
      </c>
      <c r="D4">
        <v>90827970</v>
      </c>
      <c r="E4">
        <v>91408138</v>
      </c>
      <c r="F4">
        <v>83189900</v>
      </c>
    </row>
    <row r="5" spans="1:8">
      <c r="A5" t="s">
        <v>103</v>
      </c>
      <c r="B5">
        <v>4</v>
      </c>
      <c r="C5">
        <v>83716887</v>
      </c>
      <c r="D5">
        <v>83291558</v>
      </c>
      <c r="E5">
        <v>86231604</v>
      </c>
      <c r="F5">
        <v>92808212</v>
      </c>
    </row>
    <row r="6" spans="1:8">
      <c r="A6" t="s">
        <v>103</v>
      </c>
      <c r="B6">
        <v>5</v>
      </c>
      <c r="C6">
        <v>79699470</v>
      </c>
      <c r="D6">
        <v>62554310</v>
      </c>
      <c r="E6">
        <v>75148351</v>
      </c>
      <c r="F6">
        <v>71615600</v>
      </c>
    </row>
    <row r="7" spans="1:8">
      <c r="A7" t="s">
        <v>103</v>
      </c>
      <c r="B7">
        <v>6</v>
      </c>
      <c r="C7">
        <v>83742631</v>
      </c>
      <c r="D7">
        <v>73507436</v>
      </c>
      <c r="E7">
        <v>69463442</v>
      </c>
      <c r="F7">
        <v>82998842</v>
      </c>
    </row>
    <row r="8" spans="1:8">
      <c r="A8" t="s">
        <v>103</v>
      </c>
      <c r="B8">
        <v>7</v>
      </c>
      <c r="C8">
        <v>79053817</v>
      </c>
      <c r="D8">
        <v>87713645</v>
      </c>
      <c r="E8">
        <v>88635038</v>
      </c>
      <c r="F8">
        <v>96423042</v>
      </c>
    </row>
    <row r="9" spans="1:8">
      <c r="A9" t="s">
        <v>103</v>
      </c>
      <c r="B9">
        <v>8</v>
      </c>
      <c r="C9">
        <v>76300915</v>
      </c>
      <c r="D9">
        <v>70660710</v>
      </c>
      <c r="E9">
        <v>74845475</v>
      </c>
      <c r="F9">
        <v>86071966</v>
      </c>
    </row>
    <row r="10" spans="1:8">
      <c r="A10" t="s">
        <v>100</v>
      </c>
      <c r="C10">
        <v>653415314</v>
      </c>
      <c r="D10">
        <v>625696371</v>
      </c>
      <c r="E10">
        <v>648084291</v>
      </c>
      <c r="F10">
        <v>667322748</v>
      </c>
    </row>
    <row r="11" spans="1:8">
      <c r="A11" t="s">
        <v>101</v>
      </c>
      <c r="F11">
        <v>2594518724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MedinaCulma, Cesar (CTR) - REE-ARS</dc:creator>
  <cp:lastModifiedBy>MedinaCulma, Cesar (CTR) - REE-ARS</cp:lastModifiedBy>
  <dcterms:created xsi:type="dcterms:W3CDTF">2026-05-13T21:18:38Z</dcterms:created>
  <dcterms:modified xsi:type="dcterms:W3CDTF">2026-06-11T17:05:27Z</dcterms:modified>
</cp:coreProperties>
</file>